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192\Google Drive\מערכות מידע - עמק יזרעאל\שנה א תשעח\סמסטר 1\מודלים עסקיים\הרצאה\הרצאה 10 הערכת שווי\"/>
    </mc:Choice>
  </mc:AlternateContent>
  <bookViews>
    <workbookView xWindow="240" yWindow="75" windowWidth="15000" windowHeight="7995"/>
  </bookViews>
  <sheets>
    <sheet name="גיליון1" sheetId="1" r:id="rId1"/>
    <sheet name="גיליון2" sheetId="2" r:id="rId2"/>
    <sheet name="גיליון3" sheetId="3" r:id="rId3"/>
  </sheets>
  <calcPr calcId="162913"/>
</workbook>
</file>

<file path=xl/calcChain.xml><?xml version="1.0" encoding="utf-8"?>
<calcChain xmlns="http://schemas.openxmlformats.org/spreadsheetml/2006/main">
  <c r="C38" i="1" l="1"/>
  <c r="D7" i="1"/>
  <c r="E7" i="1" s="1"/>
  <c r="F7" i="1" s="1"/>
  <c r="G7" i="1" s="1"/>
  <c r="C7" i="1"/>
  <c r="C6" i="1"/>
  <c r="D6" i="1" s="1"/>
  <c r="E6" i="1" s="1"/>
  <c r="F6" i="1" s="1"/>
  <c r="G6" i="1" s="1"/>
  <c r="D4" i="1"/>
  <c r="E4" i="1" s="1"/>
  <c r="F4" i="1" s="1"/>
  <c r="G4" i="1" s="1"/>
  <c r="C4" i="1"/>
  <c r="D3" i="1"/>
  <c r="E3" i="1" s="1"/>
  <c r="F3" i="1" s="1"/>
  <c r="G3" i="1" s="1"/>
  <c r="G5" i="1" s="1"/>
  <c r="G8" i="1" s="1"/>
  <c r="C3" i="1"/>
  <c r="C5" i="1" s="1"/>
  <c r="C8" i="1" s="1"/>
  <c r="G10" i="1"/>
  <c r="G12" i="1"/>
  <c r="C12" i="1"/>
  <c r="D12" i="1" s="1"/>
  <c r="E12" i="1" s="1"/>
  <c r="F12" i="1" s="1"/>
  <c r="C11" i="1"/>
  <c r="D11" i="1" s="1"/>
  <c r="E11" i="1" s="1"/>
  <c r="F11" i="1" s="1"/>
  <c r="G11" i="1" s="1"/>
  <c r="C10" i="1"/>
  <c r="D10" i="1" s="1"/>
  <c r="E10" i="1" s="1"/>
  <c r="F10" i="1" s="1"/>
  <c r="B8" i="1"/>
  <c r="B5" i="1"/>
  <c r="G9" i="1" l="1"/>
  <c r="G13" i="1" s="1"/>
  <c r="C9" i="1"/>
  <c r="C13" i="1" s="1"/>
  <c r="D5" i="1"/>
  <c r="D8" i="1" s="1"/>
  <c r="B9" i="1"/>
  <c r="B13" i="1" s="1"/>
  <c r="E5" i="1"/>
  <c r="E8" i="1" s="1"/>
  <c r="F5" i="1"/>
  <c r="F8" i="1" s="1"/>
  <c r="E9" i="1" l="1"/>
  <c r="E13" i="1" s="1"/>
  <c r="D9" i="1"/>
  <c r="D13" i="1" s="1"/>
  <c r="G25" i="1" s="1"/>
  <c r="F9" i="1"/>
  <c r="F13" i="1"/>
</calcChain>
</file>

<file path=xl/sharedStrings.xml><?xml version="1.0" encoding="utf-8"?>
<sst xmlns="http://schemas.openxmlformats.org/spreadsheetml/2006/main" count="39" uniqueCount="37">
  <si>
    <t>שנת בסיס</t>
  </si>
  <si>
    <t>מכירות</t>
  </si>
  <si>
    <t>עלות המכר</t>
  </si>
  <si>
    <t>רווח גולמי</t>
  </si>
  <si>
    <t>הוצאות מכירה ושיווק</t>
  </si>
  <si>
    <t>הוצאות הנהלה וכלליות</t>
  </si>
  <si>
    <t>רווח תפעולי</t>
  </si>
  <si>
    <t>הוצאות פחת (+)</t>
  </si>
  <si>
    <t>מס הכנסה (-) / (+)</t>
  </si>
  <si>
    <t>השקעות (-)</t>
  </si>
  <si>
    <t>השקעות בהון חוזר (-)</t>
  </si>
  <si>
    <t>תזרים חופשי FCF</t>
  </si>
  <si>
    <t xml:space="preserve">NPV(תזרימי תחזית) = </t>
  </si>
  <si>
    <t>306,500 * (1 + k)^(-1) + 404,763 * (1+k)^(-2) + 518,898 * (1+k)^(-3)</t>
  </si>
  <si>
    <t>+ 651,334 * (1+k)^(-4) + 804,863 * (1+k)^(-5)</t>
  </si>
  <si>
    <t>306,500 * (1 + 10.3%)^(-1) + 404,763 * (1+10.3%)^(-2) + 518,898 * (1+10.3%)^(-3)</t>
  </si>
  <si>
    <t xml:space="preserve">+ 651,334 * (1+10.3%)^(-4) + 804,863 * (1+10.3%)^(-5) = </t>
  </si>
  <si>
    <r>
      <rPr>
        <b/>
        <sz val="12"/>
        <color theme="1"/>
        <rFont val="David"/>
        <family val="2"/>
        <charset val="177"/>
      </rPr>
      <t>NPV(תזרימי תחזית)</t>
    </r>
    <r>
      <rPr>
        <sz val="12"/>
        <color theme="1"/>
        <rFont val="David"/>
        <family val="2"/>
        <charset val="177"/>
      </rPr>
      <t xml:space="preserve"> = </t>
    </r>
  </si>
  <si>
    <t>סיכום והערכת השווי:</t>
  </si>
  <si>
    <t>ערך נוכחי של תזרימי התחזית:</t>
  </si>
  <si>
    <t>ערך נוכחי טרמינלי (+):</t>
  </si>
  <si>
    <t>התחייבויות פיננסיות (-):</t>
  </si>
  <si>
    <t>נכסים פיננסיים (+):</t>
  </si>
  <si>
    <t>נכסים לא תפעוליים (+):</t>
  </si>
  <si>
    <t>סך הכל שווי בגישת DCF</t>
  </si>
  <si>
    <t>נתון - סעיף ה':</t>
  </si>
  <si>
    <t>נדרש א</t>
  </si>
  <si>
    <t>נדרש ב</t>
  </si>
  <si>
    <t>נדרש ג'</t>
  </si>
  <si>
    <t>נדרש ד'</t>
  </si>
  <si>
    <t>נדרש ה'</t>
  </si>
  <si>
    <t xml:space="preserve">כשאחוז ההון העצמי וההון הזר נתון: </t>
  </si>
  <si>
    <t>k=ke*E%+kd*D%*(1-t)</t>
  </si>
  <si>
    <t>כשסכום ההון העצמי E וההון הזר D</t>
  </si>
  <si>
    <t>נתון אז נשתמש בנוסחה הנ"ל---&gt;&gt;</t>
  </si>
  <si>
    <t>שנת הבסיס היא שנה היסטורית תמיד!</t>
  </si>
  <si>
    <t xml:space="preserve"> k=ריבית משוקללת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</si>
</sst>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b/>
      <sz val="12"/>
      <color rgb="FFFF0000"/>
      <name val="David"/>
      <family val="2"/>
      <charset val="177"/>
    </font>
    <font>
      <b/>
      <sz val="12"/>
      <color rgb="FFFF0000"/>
      <name val="David"/>
      <family val="2"/>
    </font>
    <font>
      <b/>
      <u/>
      <sz val="12"/>
      <color theme="1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4" fontId="2" fillId="0" borderId="2" xfId="0" applyNumberFormat="1" applyFont="1" applyBorder="1"/>
    <xf numFmtId="164" fontId="2" fillId="0" borderId="0" xfId="1" applyNumberFormat="1" applyFont="1"/>
    <xf numFmtId="164" fontId="2" fillId="0" borderId="1" xfId="1" applyNumberFormat="1" applyFont="1" applyBorder="1"/>
    <xf numFmtId="9" fontId="2" fillId="0" borderId="0" xfId="0" applyNumberFormat="1" applyFont="1"/>
    <xf numFmtId="16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164" fontId="4" fillId="2" borderId="1" xfId="1" applyNumberFormat="1" applyFont="1" applyFill="1" applyBorder="1"/>
    <xf numFmtId="164" fontId="4" fillId="0" borderId="0" xfId="1" applyNumberFormat="1" applyFont="1" applyFill="1" applyBorder="1"/>
    <xf numFmtId="164" fontId="2" fillId="0" borderId="0" xfId="1" applyNumberFormat="1" applyFont="1" applyFill="1" applyBorder="1"/>
    <xf numFmtId="164" fontId="4" fillId="2" borderId="0" xfId="1" applyNumberFormat="1" applyFont="1" applyFill="1"/>
    <xf numFmtId="0" fontId="4" fillId="0" borderId="0" xfId="0" applyFont="1"/>
    <xf numFmtId="164" fontId="4" fillId="2" borderId="1" xfId="0" applyNumberFormat="1" applyFont="1" applyFill="1" applyBorder="1"/>
    <xf numFmtId="0" fontId="3" fillId="0" borderId="2" xfId="0" applyFont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18</xdr:row>
          <xdr:rowOff>133350</xdr:rowOff>
        </xdr:from>
        <xdr:to>
          <xdr:col>4</xdr:col>
          <xdr:colOff>114300</xdr:colOff>
          <xdr:row>22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348155</xdr:colOff>
      <xdr:row>13</xdr:row>
      <xdr:rowOff>52551</xdr:rowOff>
    </xdr:from>
    <xdr:to>
      <xdr:col>1</xdr:col>
      <xdr:colOff>525517</xdr:colOff>
      <xdr:row>13</xdr:row>
      <xdr:rowOff>183931</xdr:rowOff>
    </xdr:to>
    <xdr:sp macro="" textlink="">
      <xdr:nvSpPr>
        <xdr:cNvPr id="2" name="חץ למטה 1"/>
        <xdr:cNvSpPr/>
      </xdr:nvSpPr>
      <xdr:spPr>
        <a:xfrm>
          <a:off x="1675086" y="2614448"/>
          <a:ext cx="177362" cy="1313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2</xdr:col>
      <xdr:colOff>65689</xdr:colOff>
      <xdr:row>12</xdr:row>
      <xdr:rowOff>91965</xdr:rowOff>
    </xdr:from>
    <xdr:to>
      <xdr:col>6</xdr:col>
      <xdr:colOff>906519</xdr:colOff>
      <xdr:row>13</xdr:row>
      <xdr:rowOff>177361</xdr:rowOff>
    </xdr:to>
    <xdr:sp macro="" textlink="">
      <xdr:nvSpPr>
        <xdr:cNvPr id="3" name="סוגר מסולסל שמאלי 2"/>
        <xdr:cNvSpPr/>
      </xdr:nvSpPr>
      <xdr:spPr>
        <a:xfrm rot="16200000">
          <a:off x="3961087" y="689740"/>
          <a:ext cx="282465" cy="3816571"/>
        </a:xfrm>
        <a:prstGeom prst="leftBrac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6</xdr:col>
      <xdr:colOff>532086</xdr:colOff>
      <xdr:row>25</xdr:row>
      <xdr:rowOff>52552</xdr:rowOff>
    </xdr:from>
    <xdr:to>
      <xdr:col>6</xdr:col>
      <xdr:colOff>709448</xdr:colOff>
      <xdr:row>25</xdr:row>
      <xdr:rowOff>183932</xdr:rowOff>
    </xdr:to>
    <xdr:sp macro="" textlink="">
      <xdr:nvSpPr>
        <xdr:cNvPr id="6" name="חץ למטה 5"/>
        <xdr:cNvSpPr/>
      </xdr:nvSpPr>
      <xdr:spPr>
        <a:xfrm>
          <a:off x="5636172" y="4979276"/>
          <a:ext cx="177362" cy="1313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4</xdr:col>
      <xdr:colOff>272611</xdr:colOff>
      <xdr:row>28</xdr:row>
      <xdr:rowOff>114958</xdr:rowOff>
    </xdr:from>
    <xdr:to>
      <xdr:col>4</xdr:col>
      <xdr:colOff>670034</xdr:colOff>
      <xdr:row>29</xdr:row>
      <xdr:rowOff>95251</xdr:rowOff>
    </xdr:to>
    <xdr:sp macro="" textlink="">
      <xdr:nvSpPr>
        <xdr:cNvPr id="7" name="חץ למטה 6"/>
        <xdr:cNvSpPr/>
      </xdr:nvSpPr>
      <xdr:spPr>
        <a:xfrm rot="16200000">
          <a:off x="4120383" y="5522858"/>
          <a:ext cx="177362" cy="39742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2</xdr:col>
      <xdr:colOff>420413</xdr:colOff>
      <xdr:row>38</xdr:row>
      <xdr:rowOff>32845</xdr:rowOff>
    </xdr:from>
    <xdr:to>
      <xdr:col>2</xdr:col>
      <xdr:colOff>597775</xdr:colOff>
      <xdr:row>38</xdr:row>
      <xdr:rowOff>164225</xdr:rowOff>
    </xdr:to>
    <xdr:sp macro="" textlink="">
      <xdr:nvSpPr>
        <xdr:cNvPr id="8" name="חץ למטה 7"/>
        <xdr:cNvSpPr/>
      </xdr:nvSpPr>
      <xdr:spPr>
        <a:xfrm>
          <a:off x="2548758" y="7521466"/>
          <a:ext cx="177362" cy="1313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4</xdr:col>
      <xdr:colOff>426983</xdr:colOff>
      <xdr:row>16</xdr:row>
      <xdr:rowOff>65690</xdr:rowOff>
    </xdr:from>
    <xdr:to>
      <xdr:col>6</xdr:col>
      <xdr:colOff>847397</xdr:colOff>
      <xdr:row>23</xdr:row>
      <xdr:rowOff>39414</xdr:rowOff>
    </xdr:to>
    <xdr:sp macro="" textlink="">
      <xdr:nvSpPr>
        <xdr:cNvPr id="4" name="פיצוץ 2 3"/>
        <xdr:cNvSpPr/>
      </xdr:nvSpPr>
      <xdr:spPr>
        <a:xfrm>
          <a:off x="4164724" y="3218793"/>
          <a:ext cx="1786759" cy="1353207"/>
        </a:xfrm>
        <a:prstGeom prst="irregularSeal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/>
          <a:r>
            <a:rPr lang="en-US" sz="1100"/>
            <a:t>k</a:t>
          </a:r>
          <a:r>
            <a:rPr lang="en-US" sz="1100" baseline="0"/>
            <a:t> </a:t>
          </a:r>
          <a:r>
            <a:rPr lang="he-IL" sz="1100" baseline="0"/>
            <a:t>מחיר הון משוקלל</a:t>
          </a:r>
          <a:endParaRPr lang="he-IL" sz="1100"/>
        </a:p>
      </xdr:txBody>
    </xdr:sp>
    <xdr:clientData/>
  </xdr:twoCellAnchor>
  <xdr:twoCellAnchor>
    <xdr:from>
      <xdr:col>2</xdr:col>
      <xdr:colOff>453259</xdr:colOff>
      <xdr:row>24</xdr:row>
      <xdr:rowOff>164223</xdr:rowOff>
    </xdr:from>
    <xdr:to>
      <xdr:col>5</xdr:col>
      <xdr:colOff>426983</xdr:colOff>
      <xdr:row>28</xdr:row>
      <xdr:rowOff>98534</xdr:rowOff>
    </xdr:to>
    <xdr:sp macro="" textlink="">
      <xdr:nvSpPr>
        <xdr:cNvPr id="11" name="פיצוץ 2 10"/>
        <xdr:cNvSpPr/>
      </xdr:nvSpPr>
      <xdr:spPr>
        <a:xfrm>
          <a:off x="2581604" y="4893878"/>
          <a:ext cx="2266293" cy="722587"/>
        </a:xfrm>
        <a:prstGeom prst="irregularSeal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/>
          <a:r>
            <a:rPr lang="en-US" sz="1000"/>
            <a:t>g </a:t>
          </a:r>
          <a:r>
            <a:rPr lang="he-IL" sz="1000"/>
            <a:t>שיעור צמיחה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25</xdr:row>
          <xdr:rowOff>180975</xdr:rowOff>
        </xdr:from>
        <xdr:to>
          <xdr:col>3</xdr:col>
          <xdr:colOff>666750</xdr:colOff>
          <xdr:row>30</xdr:row>
          <xdr:rowOff>19050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4"/>
  <sheetViews>
    <sheetView tabSelected="1" topLeftCell="A32" zoomScale="145" zoomScaleNormal="145" workbookViewId="0">
      <selection activeCell="I28" sqref="I28"/>
    </sheetView>
  </sheetViews>
  <sheetFormatPr defaultRowHeight="15.75" x14ac:dyDescent="0.25"/>
  <cols>
    <col min="1" max="1" width="17.375" style="1" customWidth="1"/>
    <col min="2" max="2" width="10.5" style="1" bestFit="1" customWidth="1"/>
    <col min="3" max="3" width="12.125" style="1" bestFit="1" customWidth="1"/>
    <col min="4" max="6" width="9" style="1"/>
    <col min="7" max="7" width="12.25" style="1" bestFit="1" customWidth="1"/>
    <col min="8" max="16384" width="9" style="1"/>
  </cols>
  <sheetData>
    <row r="1" spans="1:8" x14ac:dyDescent="0.25">
      <c r="B1" s="15" t="s">
        <v>0</v>
      </c>
      <c r="C1" s="15">
        <v>1</v>
      </c>
      <c r="D1" s="15">
        <v>2</v>
      </c>
      <c r="E1" s="15">
        <v>3</v>
      </c>
      <c r="F1" s="15">
        <v>4</v>
      </c>
      <c r="G1" s="15">
        <v>5</v>
      </c>
    </row>
    <row r="2" spans="1:8" x14ac:dyDescent="0.25">
      <c r="B2" s="2">
        <v>43100</v>
      </c>
      <c r="C2" s="2">
        <v>43465</v>
      </c>
      <c r="D2" s="2">
        <v>43830</v>
      </c>
      <c r="E2" s="2">
        <v>44196</v>
      </c>
      <c r="F2" s="2">
        <v>44561</v>
      </c>
      <c r="G2" s="2">
        <v>44926</v>
      </c>
    </row>
    <row r="3" spans="1:8" x14ac:dyDescent="0.25">
      <c r="A3" s="1" t="s">
        <v>1</v>
      </c>
      <c r="B3" s="3">
        <v>900000</v>
      </c>
      <c r="C3" s="3">
        <f>B3*(1+$H$3)</f>
        <v>1034999.9999999999</v>
      </c>
      <c r="D3" s="3">
        <f t="shared" ref="D3:G3" si="0">C3*(1+$H$3)</f>
        <v>1190249.9999999998</v>
      </c>
      <c r="E3" s="3">
        <f t="shared" si="0"/>
        <v>1368787.4999999995</v>
      </c>
      <c r="F3" s="3">
        <f t="shared" si="0"/>
        <v>1574105.6249999993</v>
      </c>
      <c r="G3" s="3">
        <f t="shared" si="0"/>
        <v>1810221.4687499991</v>
      </c>
      <c r="H3" s="5">
        <v>0.15</v>
      </c>
    </row>
    <row r="4" spans="1:8" x14ac:dyDescent="0.25">
      <c r="A4" s="1" t="s">
        <v>2</v>
      </c>
      <c r="B4" s="3">
        <v>-250000</v>
      </c>
      <c r="C4" s="3">
        <f>B4*(1+$H$4)</f>
        <v>-260000</v>
      </c>
      <c r="D4" s="3">
        <f t="shared" ref="D4:G4" si="1">C4*(1+$H$4)</f>
        <v>-270400</v>
      </c>
      <c r="E4" s="3">
        <f t="shared" si="1"/>
        <v>-281216</v>
      </c>
      <c r="F4" s="3">
        <f t="shared" si="1"/>
        <v>-292464.64000000001</v>
      </c>
      <c r="G4" s="3">
        <f t="shared" si="1"/>
        <v>-304163.22560000001</v>
      </c>
      <c r="H4" s="5">
        <v>0.04</v>
      </c>
    </row>
    <row r="5" spans="1:8" x14ac:dyDescent="0.25">
      <c r="A5" s="1" t="s">
        <v>3</v>
      </c>
      <c r="B5" s="4">
        <f>B3+B4</f>
        <v>650000</v>
      </c>
      <c r="C5" s="4">
        <f>SUM(C3:C4)</f>
        <v>774999.99999999988</v>
      </c>
      <c r="D5" s="4">
        <f>SUM(D3:D4)</f>
        <v>919849.99999999977</v>
      </c>
      <c r="E5" s="4">
        <f>SUM(E3:E4)</f>
        <v>1087571.4999999995</v>
      </c>
      <c r="F5" s="4">
        <f>SUM(F3:F4)</f>
        <v>1281640.9849999994</v>
      </c>
      <c r="G5" s="4">
        <f>SUM(G3:G4)</f>
        <v>1506058.2431499991</v>
      </c>
    </row>
    <row r="6" spans="1:8" x14ac:dyDescent="0.25">
      <c r="A6" s="1" t="s">
        <v>4</v>
      </c>
      <c r="B6" s="3">
        <v>-100000</v>
      </c>
      <c r="C6" s="3">
        <f>B6*(1+$H$6)</f>
        <v>-100000</v>
      </c>
      <c r="D6" s="3">
        <f t="shared" ref="D6:G6" si="2">C6*(1+$H$6)</f>
        <v>-100000</v>
      </c>
      <c r="E6" s="3">
        <f t="shared" si="2"/>
        <v>-100000</v>
      </c>
      <c r="F6" s="3">
        <f t="shared" si="2"/>
        <v>-100000</v>
      </c>
      <c r="G6" s="3">
        <f t="shared" si="2"/>
        <v>-100000</v>
      </c>
      <c r="H6" s="5">
        <v>0</v>
      </c>
    </row>
    <row r="7" spans="1:8" x14ac:dyDescent="0.25">
      <c r="A7" s="1" t="s">
        <v>5</v>
      </c>
      <c r="B7" s="3">
        <v>-140000</v>
      </c>
      <c r="C7" s="3">
        <f>B7*(1+$H$7)</f>
        <v>-140000</v>
      </c>
      <c r="D7" s="3">
        <f t="shared" ref="D7:G7" si="3">C7*(1+$H$7)</f>
        <v>-140000</v>
      </c>
      <c r="E7" s="3">
        <f t="shared" si="3"/>
        <v>-140000</v>
      </c>
      <c r="F7" s="3">
        <f t="shared" si="3"/>
        <v>-140000</v>
      </c>
      <c r="G7" s="3">
        <f t="shared" si="3"/>
        <v>-140000</v>
      </c>
      <c r="H7" s="5">
        <v>0</v>
      </c>
    </row>
    <row r="8" spans="1:8" x14ac:dyDescent="0.25">
      <c r="A8" s="1" t="s">
        <v>6</v>
      </c>
      <c r="B8" s="4">
        <f>B5+B6+B7</f>
        <v>410000</v>
      </c>
      <c r="C8" s="4">
        <f>SUM(C5:C7)</f>
        <v>534999.99999999988</v>
      </c>
      <c r="D8" s="4">
        <f>SUM(D5:D7)</f>
        <v>679849.99999999977</v>
      </c>
      <c r="E8" s="4">
        <f>SUM(E5:E7)</f>
        <v>847571.49999999953</v>
      </c>
      <c r="F8" s="4">
        <f>SUM(F5:F7)</f>
        <v>1041640.9849999994</v>
      </c>
      <c r="G8" s="4">
        <f>SUM(G5:G7)</f>
        <v>1266058.2431499991</v>
      </c>
    </row>
    <row r="9" spans="1:8" x14ac:dyDescent="0.25">
      <c r="A9" s="1" t="s">
        <v>8</v>
      </c>
      <c r="B9" s="6">
        <f t="shared" ref="B9:G9" si="4">-30%*B8</f>
        <v>-123000</v>
      </c>
      <c r="C9" s="6">
        <f t="shared" si="4"/>
        <v>-160499.99999999997</v>
      </c>
      <c r="D9" s="6">
        <f t="shared" si="4"/>
        <v>-203954.99999999991</v>
      </c>
      <c r="E9" s="6">
        <f t="shared" si="4"/>
        <v>-254271.44999999984</v>
      </c>
      <c r="F9" s="6">
        <f t="shared" si="4"/>
        <v>-312492.29549999983</v>
      </c>
      <c r="G9" s="6">
        <f t="shared" si="4"/>
        <v>-379817.4729449997</v>
      </c>
    </row>
    <row r="10" spans="1:8" x14ac:dyDescent="0.25">
      <c r="A10" s="1" t="s">
        <v>7</v>
      </c>
      <c r="B10" s="3">
        <v>40000</v>
      </c>
      <c r="C10" s="3">
        <f>B10*(1+$H$10)</f>
        <v>41200</v>
      </c>
      <c r="D10" s="3">
        <f>C10*(1+$H$10)</f>
        <v>42436</v>
      </c>
      <c r="E10" s="3">
        <f>D10*(1+$H$10)</f>
        <v>43709.08</v>
      </c>
      <c r="F10" s="3">
        <f>E10*(1+$H$10)</f>
        <v>45020.352400000003</v>
      </c>
      <c r="G10" s="3">
        <f>F10*(1+$H$10)</f>
        <v>46370.962972000001</v>
      </c>
      <c r="H10" s="5">
        <v>0.03</v>
      </c>
    </row>
    <row r="11" spans="1:8" x14ac:dyDescent="0.25">
      <c r="A11" s="1" t="s">
        <v>9</v>
      </c>
      <c r="B11" s="3">
        <v>-85000</v>
      </c>
      <c r="C11" s="3">
        <f t="shared" ref="C11:G12" si="5">B11*(1+$H$11)</f>
        <v>-88400</v>
      </c>
      <c r="D11" s="3">
        <f t="shared" si="5"/>
        <v>-91936</v>
      </c>
      <c r="E11" s="3">
        <f t="shared" si="5"/>
        <v>-95613.440000000002</v>
      </c>
      <c r="F11" s="3">
        <f t="shared" si="5"/>
        <v>-99437.977600000013</v>
      </c>
      <c r="G11" s="3">
        <f t="shared" si="5"/>
        <v>-103415.49670400002</v>
      </c>
      <c r="H11" s="5">
        <v>0.04</v>
      </c>
    </row>
    <row r="12" spans="1:8" x14ac:dyDescent="0.25">
      <c r="A12" s="1" t="s">
        <v>10</v>
      </c>
      <c r="B12" s="3">
        <v>-20000</v>
      </c>
      <c r="C12" s="3">
        <f t="shared" si="5"/>
        <v>-20800</v>
      </c>
      <c r="D12" s="3">
        <f t="shared" si="5"/>
        <v>-21632</v>
      </c>
      <c r="E12" s="3">
        <f t="shared" si="5"/>
        <v>-22497.280000000002</v>
      </c>
      <c r="F12" s="3">
        <f t="shared" si="5"/>
        <v>-23397.171200000004</v>
      </c>
      <c r="G12" s="3">
        <f t="shared" si="5"/>
        <v>-24333.058048000006</v>
      </c>
    </row>
    <row r="13" spans="1:8" x14ac:dyDescent="0.25">
      <c r="A13" s="1" t="s">
        <v>11</v>
      </c>
      <c r="B13" s="9">
        <f>SUM(B8:B12)</f>
        <v>222000</v>
      </c>
      <c r="C13" s="9">
        <f t="shared" ref="C13:G13" si="6">SUM(C8:C12)</f>
        <v>306499.99999999988</v>
      </c>
      <c r="D13" s="9">
        <f t="shared" si="6"/>
        <v>404762.99999999988</v>
      </c>
      <c r="E13" s="9">
        <f t="shared" si="6"/>
        <v>518898.40999999968</v>
      </c>
      <c r="F13" s="9">
        <f t="shared" si="6"/>
        <v>651333.89309999964</v>
      </c>
      <c r="G13" s="9">
        <f t="shared" si="6"/>
        <v>804863.17842499935</v>
      </c>
    </row>
    <row r="14" spans="1:8" x14ac:dyDescent="0.25">
      <c r="B14" s="10"/>
      <c r="C14" s="11"/>
      <c r="D14" s="11"/>
      <c r="E14" s="11"/>
      <c r="F14" s="11"/>
      <c r="G14" s="11"/>
    </row>
    <row r="15" spans="1:8" x14ac:dyDescent="0.25">
      <c r="B15" s="10" t="s">
        <v>26</v>
      </c>
      <c r="C15" s="11"/>
      <c r="D15" s="11"/>
      <c r="E15" s="10" t="s">
        <v>27</v>
      </c>
      <c r="F15" s="11"/>
      <c r="G15" s="11"/>
    </row>
    <row r="17" spans="1:10" x14ac:dyDescent="0.25">
      <c r="A17" s="1" t="s">
        <v>12</v>
      </c>
      <c r="B17" s="1" t="s">
        <v>13</v>
      </c>
    </row>
    <row r="18" spans="1:10" x14ac:dyDescent="0.25">
      <c r="B18" s="7" t="s">
        <v>14</v>
      </c>
    </row>
    <row r="20" spans="1:10" x14ac:dyDescent="0.25">
      <c r="A20"/>
      <c r="H20" s="16"/>
      <c r="I20" s="16"/>
      <c r="J20" s="16" t="s">
        <v>33</v>
      </c>
    </row>
    <row r="21" spans="1:10" x14ac:dyDescent="0.25">
      <c r="H21" s="16"/>
      <c r="I21" s="16"/>
      <c r="J21" s="16" t="s">
        <v>34</v>
      </c>
    </row>
    <row r="23" spans="1:10" x14ac:dyDescent="0.25">
      <c r="I23" s="18" t="s">
        <v>36</v>
      </c>
    </row>
    <row r="24" spans="1:10" x14ac:dyDescent="0.25">
      <c r="A24" s="1" t="s">
        <v>17</v>
      </c>
      <c r="B24" s="1" t="s">
        <v>15</v>
      </c>
    </row>
    <row r="25" spans="1:10" x14ac:dyDescent="0.25">
      <c r="B25" s="7" t="s">
        <v>16</v>
      </c>
      <c r="G25" s="12">
        <f>NPV(10.3%,C13:G13)</f>
        <v>1930306.6919590747</v>
      </c>
    </row>
    <row r="27" spans="1:10" x14ac:dyDescent="0.25">
      <c r="A27"/>
      <c r="G27" s="13" t="s">
        <v>28</v>
      </c>
    </row>
    <row r="29" spans="1:10" x14ac:dyDescent="0.25">
      <c r="F29" s="17" t="s">
        <v>29</v>
      </c>
    </row>
    <row r="30" spans="1:10" x14ac:dyDescent="0.25">
      <c r="F30" s="17"/>
    </row>
    <row r="32" spans="1:10" x14ac:dyDescent="0.25">
      <c r="G32" s="1" t="s">
        <v>18</v>
      </c>
    </row>
    <row r="33" spans="1:7" x14ac:dyDescent="0.25">
      <c r="A33"/>
      <c r="C33" s="3">
        <v>1930307</v>
      </c>
      <c r="F33" s="1" t="s">
        <v>19</v>
      </c>
    </row>
    <row r="34" spans="1:7" x14ac:dyDescent="0.25">
      <c r="C34" s="3">
        <v>6262230</v>
      </c>
      <c r="F34" s="1" t="s">
        <v>20</v>
      </c>
    </row>
    <row r="35" spans="1:7" x14ac:dyDescent="0.25">
      <c r="A35"/>
      <c r="C35" s="3">
        <v>200000</v>
      </c>
      <c r="F35" s="1" t="s">
        <v>22</v>
      </c>
      <c r="G35" s="1" t="s">
        <v>25</v>
      </c>
    </row>
    <row r="36" spans="1:7" x14ac:dyDescent="0.25">
      <c r="C36" s="3">
        <v>-170000</v>
      </c>
      <c r="F36" s="1" t="s">
        <v>21</v>
      </c>
      <c r="G36" s="1" t="s">
        <v>25</v>
      </c>
    </row>
    <row r="37" spans="1:7" x14ac:dyDescent="0.25">
      <c r="C37" s="3">
        <v>40000</v>
      </c>
      <c r="F37" s="1" t="s">
        <v>23</v>
      </c>
      <c r="G37" s="1" t="s">
        <v>25</v>
      </c>
    </row>
    <row r="38" spans="1:7" x14ac:dyDescent="0.25">
      <c r="C38" s="14">
        <f>SUM(C33:C37)</f>
        <v>8262537</v>
      </c>
      <c r="D38" s="8"/>
      <c r="E38" s="8"/>
      <c r="F38" s="8" t="s">
        <v>24</v>
      </c>
    </row>
    <row r="40" spans="1:7" x14ac:dyDescent="0.25">
      <c r="C40" s="13" t="s">
        <v>30</v>
      </c>
    </row>
    <row r="42" spans="1:7" x14ac:dyDescent="0.25">
      <c r="A42" s="16" t="s">
        <v>32</v>
      </c>
      <c r="B42" s="16"/>
      <c r="C42" s="16"/>
      <c r="D42" s="16"/>
      <c r="E42" s="16"/>
      <c r="F42" s="16"/>
      <c r="G42" s="16" t="s">
        <v>31</v>
      </c>
    </row>
    <row r="44" spans="1:7" x14ac:dyDescent="0.25">
      <c r="E44" s="18" t="s">
        <v>35</v>
      </c>
    </row>
  </sheetData>
  <mergeCells count="1">
    <mergeCell ref="F29:F30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0</xdr:col>
                <xdr:colOff>28575</xdr:colOff>
                <xdr:row>18</xdr:row>
                <xdr:rowOff>133350</xdr:rowOff>
              </from>
              <to>
                <xdr:col>4</xdr:col>
                <xdr:colOff>114300</xdr:colOff>
                <xdr:row>22</xdr:row>
                <xdr:rowOff>142875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0</xdr:col>
                <xdr:colOff>47625</xdr:colOff>
                <xdr:row>25</xdr:row>
                <xdr:rowOff>180975</xdr:rowOff>
              </from>
              <to>
                <xdr:col>3</xdr:col>
                <xdr:colOff>666750</xdr:colOff>
                <xdr:row>30</xdr:row>
                <xdr:rowOff>19050</xdr:rowOff>
              </to>
            </anchor>
          </objectPr>
        </oleObject>
      </mc:Choice>
      <mc:Fallback>
        <oleObject progId="Equation.3" shapeId="102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אור שחר</cp:lastModifiedBy>
  <dcterms:created xsi:type="dcterms:W3CDTF">2018-01-07T08:40:37Z</dcterms:created>
  <dcterms:modified xsi:type="dcterms:W3CDTF">2018-01-07T12:18:26Z</dcterms:modified>
</cp:coreProperties>
</file>