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60" windowWidth="14760" windowHeight="7710"/>
  </bookViews>
  <sheets>
    <sheet name="גיליון1" sheetId="1" r:id="rId1"/>
    <sheet name="גיליון2" sheetId="2" r:id="rId2"/>
    <sheet name="גיליון3" sheetId="3" r:id="rId3"/>
  </sheets>
  <calcPr calcId="145621"/>
</workbook>
</file>

<file path=xl/calcChain.xml><?xml version="1.0" encoding="utf-8"?>
<calcChain xmlns="http://schemas.openxmlformats.org/spreadsheetml/2006/main">
  <c r="B27" i="1" l="1"/>
  <c r="B21" i="1"/>
  <c r="B16" i="1"/>
  <c r="E14" i="1"/>
  <c r="F11" i="1"/>
  <c r="E11" i="1"/>
  <c r="D11" i="1"/>
  <c r="C11" i="1"/>
  <c r="B11" i="1"/>
  <c r="F9" i="1"/>
  <c r="E9" i="1"/>
  <c r="D9" i="1"/>
  <c r="F8" i="1"/>
  <c r="E8" i="1"/>
  <c r="D8" i="1"/>
  <c r="C8" i="1"/>
  <c r="F10" i="1"/>
  <c r="E10" i="1"/>
  <c r="D10" i="1"/>
  <c r="C10" i="1"/>
  <c r="F7" i="1"/>
  <c r="E7" i="1"/>
  <c r="D7" i="1"/>
  <c r="C7" i="1"/>
  <c r="B7" i="1"/>
  <c r="C6" i="1"/>
  <c r="D6" i="1"/>
  <c r="E6" i="1"/>
  <c r="F6" i="1"/>
  <c r="C4" i="1"/>
  <c r="D4" i="1"/>
  <c r="E4" i="1"/>
  <c r="F4" i="1"/>
  <c r="B6" i="1"/>
  <c r="B4" i="1"/>
</calcChain>
</file>

<file path=xl/sharedStrings.xml><?xml version="1.0" encoding="utf-8"?>
<sst xmlns="http://schemas.openxmlformats.org/spreadsheetml/2006/main" count="24" uniqueCount="23">
  <si>
    <t>מכירות</t>
  </si>
  <si>
    <t>עלות המכר</t>
  </si>
  <si>
    <t>הוצאות הנהלה</t>
  </si>
  <si>
    <t>רווח גולמי</t>
  </si>
  <si>
    <t>רווח תפעולי</t>
  </si>
  <si>
    <t>מס - 30%</t>
  </si>
  <si>
    <t>הוסף: פחת</t>
  </si>
  <si>
    <t>נכה: השקעות</t>
  </si>
  <si>
    <t>נכה: גידול בהון חוזר</t>
  </si>
  <si>
    <t>קבל: FCF</t>
  </si>
  <si>
    <t xml:space="preserve">60% * 20% + 40% * 10% * (1 - 30%) = </t>
  </si>
  <si>
    <t xml:space="preserve">k = WACC = </t>
  </si>
  <si>
    <t xml:space="preserve">k = ke * E/(E+D) + kd * D/(E+D) * (1 - 30%) = </t>
  </si>
  <si>
    <t xml:space="preserve">NPV = </t>
  </si>
  <si>
    <t>ערך התזרימים לתקופת התחזית</t>
  </si>
  <si>
    <t>ערך טרמינלי:</t>
  </si>
  <si>
    <t>NPV(Terminal) = [FCF5 * (1+g) / (k-g)] * (1+k)^(-5)</t>
  </si>
  <si>
    <t>NPV(Terminal) = [290,751 * (1+2%) / (14.8%-2%)] * (1+14.8%)^(-5)</t>
  </si>
  <si>
    <t xml:space="preserve">NPV(Terminal) = </t>
  </si>
  <si>
    <t>נכסים לא תפעוליים:</t>
  </si>
  <si>
    <t>נכסים פיננסיים</t>
  </si>
  <si>
    <t>התחייבויות פיננסיות</t>
  </si>
  <si>
    <t>שווי החברה - גישת DCF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</si>
</sst>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5" formatCode="_ * #,##0_ ;_ * \-#,##0_ ;_ * &quot;-&quot;??_ ;_ @_ "/>
  </numFmts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165" fontId="0" fillId="0" borderId="1" xfId="1" applyNumberFormat="1" applyFont="1" applyBorder="1"/>
    <xf numFmtId="165" fontId="0" fillId="0" borderId="1" xfId="0" applyNumberFormat="1" applyBorder="1"/>
    <xf numFmtId="0" fontId="0" fillId="0" borderId="2" xfId="0" applyBorder="1" applyAlignment="1">
      <alignment horizontal="center"/>
    </xf>
    <xf numFmtId="10" fontId="0" fillId="0" borderId="0" xfId="2" applyNumberFormat="1" applyFont="1"/>
    <xf numFmtId="165" fontId="0" fillId="2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="145" zoomScaleNormal="145" workbookViewId="0">
      <selection activeCell="E28" sqref="E28"/>
    </sheetView>
  </sheetViews>
  <sheetFormatPr defaultRowHeight="14.25" x14ac:dyDescent="0.2"/>
  <cols>
    <col min="1" max="1" width="13.75" customWidth="1"/>
    <col min="2" max="2" width="12.75" bestFit="1" customWidth="1"/>
    <col min="3" max="6" width="11.75" bestFit="1" customWidth="1"/>
  </cols>
  <sheetData>
    <row r="1" spans="1:6" x14ac:dyDescent="0.2">
      <c r="B1" s="4">
        <v>1</v>
      </c>
      <c r="C1" s="4">
        <v>2</v>
      </c>
      <c r="D1" s="4">
        <v>3</v>
      </c>
      <c r="E1" s="4">
        <v>4</v>
      </c>
      <c r="F1" s="4">
        <v>5</v>
      </c>
    </row>
    <row r="2" spans="1:6" x14ac:dyDescent="0.2">
      <c r="A2" t="s">
        <v>0</v>
      </c>
      <c r="B2" s="1">
        <v>500000</v>
      </c>
      <c r="C2" s="1">
        <v>600000</v>
      </c>
      <c r="D2" s="1">
        <v>650000</v>
      </c>
      <c r="E2" s="1">
        <v>550000</v>
      </c>
      <c r="F2" s="1">
        <v>700000</v>
      </c>
    </row>
    <row r="3" spans="1:6" x14ac:dyDescent="0.2">
      <c r="A3" t="s">
        <v>1</v>
      </c>
      <c r="B3" s="1">
        <v>-200000</v>
      </c>
      <c r="C3" s="1">
        <v>-180000</v>
      </c>
      <c r="D3" s="1">
        <v>-240000</v>
      </c>
      <c r="E3" s="1">
        <v>-300000</v>
      </c>
      <c r="F3" s="1">
        <v>-200000</v>
      </c>
    </row>
    <row r="4" spans="1:6" ht="15" thickBot="1" x14ac:dyDescent="0.25">
      <c r="A4" t="s">
        <v>3</v>
      </c>
      <c r="B4" s="2">
        <f>B2+B3</f>
        <v>300000</v>
      </c>
      <c r="C4" s="2">
        <f t="shared" ref="C4:F4" si="0">C2+C3</f>
        <v>420000</v>
      </c>
      <c r="D4" s="2">
        <f t="shared" si="0"/>
        <v>410000</v>
      </c>
      <c r="E4" s="2">
        <f t="shared" si="0"/>
        <v>250000</v>
      </c>
      <c r="F4" s="2">
        <f t="shared" si="0"/>
        <v>500000</v>
      </c>
    </row>
    <row r="5" spans="1:6" x14ac:dyDescent="0.2">
      <c r="A5" t="s">
        <v>2</v>
      </c>
      <c r="B5" s="1">
        <v>-90000</v>
      </c>
      <c r="C5" s="1">
        <v>-110000</v>
      </c>
      <c r="D5" s="1">
        <v>-120000</v>
      </c>
      <c r="E5" s="1">
        <v>-140000</v>
      </c>
      <c r="F5" s="1">
        <v>-140000</v>
      </c>
    </row>
    <row r="6" spans="1:6" ht="15" thickBot="1" x14ac:dyDescent="0.25">
      <c r="A6" t="s">
        <v>4</v>
      </c>
      <c r="B6" s="2">
        <f>B4+B5</f>
        <v>210000</v>
      </c>
      <c r="C6" s="2">
        <f t="shared" ref="C6:F6" si="1">C4+C5</f>
        <v>310000</v>
      </c>
      <c r="D6" s="2">
        <f t="shared" si="1"/>
        <v>290000</v>
      </c>
      <c r="E6" s="2">
        <f t="shared" si="1"/>
        <v>110000</v>
      </c>
      <c r="F6" s="2">
        <f t="shared" si="1"/>
        <v>360000</v>
      </c>
    </row>
    <row r="7" spans="1:6" x14ac:dyDescent="0.2">
      <c r="A7" t="s">
        <v>5</v>
      </c>
      <c r="B7" s="1">
        <f>-0.3*B6</f>
        <v>-63000</v>
      </c>
      <c r="C7" s="1">
        <f>-0.3*C6</f>
        <v>-93000</v>
      </c>
      <c r="D7" s="1">
        <f>-0.3*D6</f>
        <v>-87000</v>
      </c>
      <c r="E7" s="1">
        <f>-0.3*E6</f>
        <v>-33000</v>
      </c>
      <c r="F7" s="1">
        <f>-0.3*F6</f>
        <v>-108000</v>
      </c>
    </row>
    <row r="8" spans="1:6" x14ac:dyDescent="0.2">
      <c r="A8" t="s">
        <v>6</v>
      </c>
      <c r="B8" s="1">
        <v>50000</v>
      </c>
      <c r="C8" s="1">
        <f>B8+10000</f>
        <v>60000</v>
      </c>
      <c r="D8" s="1">
        <f>C8+10000</f>
        <v>70000</v>
      </c>
      <c r="E8" s="1">
        <f>D8+10000</f>
        <v>80000</v>
      </c>
      <c r="F8" s="1">
        <f>E8+10000</f>
        <v>90000</v>
      </c>
    </row>
    <row r="9" spans="1:6" x14ac:dyDescent="0.2">
      <c r="A9" t="s">
        <v>7</v>
      </c>
      <c r="B9" s="1"/>
      <c r="C9" s="1">
        <v>-10000</v>
      </c>
      <c r="D9" s="1">
        <f>C9*1.04</f>
        <v>-10400</v>
      </c>
      <c r="E9" s="1">
        <f>D9*1.04</f>
        <v>-10816</v>
      </c>
      <c r="F9" s="1">
        <f>E9*1.04</f>
        <v>-11248.640000000001</v>
      </c>
    </row>
    <row r="10" spans="1:6" x14ac:dyDescent="0.2">
      <c r="A10" t="s">
        <v>8</v>
      </c>
      <c r="B10" s="1">
        <v>-40000</v>
      </c>
      <c r="C10" s="1">
        <f>B10</f>
        <v>-40000</v>
      </c>
      <c r="D10" s="1">
        <f>C10</f>
        <v>-40000</v>
      </c>
      <c r="E10" s="1">
        <f>D10</f>
        <v>-40000</v>
      </c>
      <c r="F10" s="1">
        <f>E10</f>
        <v>-40000</v>
      </c>
    </row>
    <row r="11" spans="1:6" ht="15" thickBot="1" x14ac:dyDescent="0.25">
      <c r="A11" t="s">
        <v>9</v>
      </c>
      <c r="B11" s="3">
        <f>SUM(B6:B10)</f>
        <v>157000</v>
      </c>
      <c r="C11" s="3">
        <f>SUM(C6:C10)</f>
        <v>227000</v>
      </c>
      <c r="D11" s="3">
        <f>SUM(D6:D10)</f>
        <v>222600</v>
      </c>
      <c r="E11" s="3">
        <f>SUM(E6:E10)</f>
        <v>106184</v>
      </c>
      <c r="F11" s="3">
        <f>SUM(F6:F10)</f>
        <v>290751.35999999999</v>
      </c>
    </row>
    <row r="13" spans="1:6" x14ac:dyDescent="0.2">
      <c r="A13" t="s">
        <v>12</v>
      </c>
    </row>
    <row r="14" spans="1:6" x14ac:dyDescent="0.2">
      <c r="A14" t="s">
        <v>11</v>
      </c>
      <c r="B14" t="s">
        <v>10</v>
      </c>
      <c r="E14" s="5">
        <f>0.6*0.2+0.4*0.1*0.7</f>
        <v>0.14799999999999999</v>
      </c>
    </row>
    <row r="16" spans="1:6" x14ac:dyDescent="0.2">
      <c r="A16" t="s">
        <v>13</v>
      </c>
      <c r="B16" s="1">
        <f>NPV(E14,B11:F11)</f>
        <v>663085.81325696874</v>
      </c>
      <c r="E16" t="s">
        <v>14</v>
      </c>
    </row>
    <row r="17" spans="1:5" x14ac:dyDescent="0.2">
      <c r="E17" t="s">
        <v>15</v>
      </c>
    </row>
    <row r="18" spans="1:5" x14ac:dyDescent="0.2">
      <c r="A18" t="s">
        <v>16</v>
      </c>
    </row>
    <row r="19" spans="1:5" x14ac:dyDescent="0.2">
      <c r="A19" t="s">
        <v>17</v>
      </c>
    </row>
    <row r="21" spans="1:5" x14ac:dyDescent="0.2">
      <c r="A21" t="s">
        <v>18</v>
      </c>
      <c r="B21" s="1">
        <f>(290751*(1+2%))/(14.8%-2%)*(1+14.8%)^(-5)</f>
        <v>1161988.8985766354</v>
      </c>
      <c r="E21" t="s">
        <v>15</v>
      </c>
    </row>
    <row r="23" spans="1:5" x14ac:dyDescent="0.2">
      <c r="B23" s="1">
        <v>70000</v>
      </c>
      <c r="E23" t="s">
        <v>19</v>
      </c>
    </row>
    <row r="24" spans="1:5" x14ac:dyDescent="0.2">
      <c r="B24" s="1">
        <v>100000</v>
      </c>
      <c r="E24" t="s">
        <v>20</v>
      </c>
    </row>
    <row r="25" spans="1:5" x14ac:dyDescent="0.2">
      <c r="B25" s="1">
        <v>-200000</v>
      </c>
      <c r="E25" t="s">
        <v>21</v>
      </c>
    </row>
    <row r="27" spans="1:5" x14ac:dyDescent="0.2">
      <c r="B27" s="6">
        <f>B16+B21+B23+B24+B25</f>
        <v>1795074.7118336041</v>
      </c>
      <c r="E2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2018-01-07T10:21:33Z</dcterms:created>
  <dcterms:modified xsi:type="dcterms:W3CDTF">2018-01-07T10:40:24Z</dcterms:modified>
</cp:coreProperties>
</file>